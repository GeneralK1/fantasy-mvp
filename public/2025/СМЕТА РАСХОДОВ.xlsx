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e33001799eff32/Рабочий стол/ЦСП/2025/"/>
    </mc:Choice>
  </mc:AlternateContent>
  <xr:revisionPtr revIDLastSave="11" documentId="8_{CB835F00-3738-430A-A962-54D0733C50E3}" xr6:coauthVersionLast="47" xr6:coauthVersionMax="47" xr10:uidLastSave="{155E8DC8-D8C7-4941-9119-DA9AD2A7137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N15" i="1"/>
  <c r="N16" i="1"/>
  <c r="N17" i="1"/>
  <c r="N19" i="1"/>
  <c r="N20" i="1"/>
  <c r="N21" i="1"/>
  <c r="N22" i="1"/>
  <c r="N23" i="1"/>
  <c r="N14" i="1"/>
  <c r="L15" i="1"/>
  <c r="L16" i="1"/>
  <c r="L17" i="1"/>
  <c r="L18" i="1"/>
  <c r="L19" i="1"/>
  <c r="L20" i="1"/>
  <c r="L21" i="1"/>
  <c r="L22" i="1"/>
  <c r="L23" i="1"/>
  <c r="L14" i="1"/>
  <c r="I15" i="1"/>
  <c r="I16" i="1"/>
  <c r="I17" i="1"/>
  <c r="N18" i="1"/>
  <c r="I19" i="1"/>
  <c r="I20" i="1"/>
  <c r="I21" i="1"/>
  <c r="I22" i="1"/>
  <c r="I23" i="1"/>
  <c r="I14" i="1"/>
  <c r="N13" i="1" l="1"/>
</calcChain>
</file>

<file path=xl/sharedStrings.xml><?xml version="1.0" encoding="utf-8"?>
<sst xmlns="http://schemas.openxmlformats.org/spreadsheetml/2006/main" count="58" uniqueCount="56">
  <si>
    <r>
      <rPr>
        <sz val="14"/>
        <rFont val="Times New Roman"/>
        <family val="1"/>
      </rPr>
      <t>УТВЕРЖДАЮ
Директор ГБУ Республики Марий Эл «ЦСП»
________________ /Короткова Ж.М./
«___»_________________ 2025 г.</t>
    </r>
  </si>
  <si>
    <r>
      <rPr>
        <b/>
        <sz val="14"/>
        <color rgb="FF000000"/>
        <rFont val="Times New Roman"/>
        <family val="1"/>
      </rPr>
      <t>СМЕТА РАСХОДОВ</t>
    </r>
  </si>
  <si>
    <r>
      <rPr>
        <sz val="14"/>
        <rFont val="Times New Roman"/>
        <family val="1"/>
      </rPr>
      <t>на обеспечение участия спортсмена в спортивных мероприятиях в 2025 г.</t>
    </r>
  </si>
  <si>
    <r>
      <rPr>
        <vertAlign val="superscript"/>
        <sz val="14"/>
        <rFont val="Times New Roman"/>
        <family val="1"/>
      </rPr>
      <t>Фамилия Имя Отчество спортсмена, дата рождения</t>
    </r>
  </si>
  <si>
    <r>
      <rPr>
        <vertAlign val="superscript"/>
        <sz val="14"/>
        <rFont val="Times New Roman"/>
        <family val="1"/>
      </rPr>
      <t>вид спорта (спортивная дисциплина, вид программы), спортивное звание/спортивный разряд</t>
    </r>
  </si>
  <si>
    <r>
      <rPr>
        <sz val="11"/>
        <color rgb="FF000000"/>
        <rFont val="Times New Roman"/>
        <family val="1"/>
      </rPr>
      <t>№ п/п</t>
    </r>
  </si>
  <si>
    <r>
      <rPr>
        <sz val="11"/>
        <color rgb="FF000000"/>
        <rFont val="Times New Roman"/>
        <family val="1"/>
      </rPr>
      <t>Наименование спортивного мероприятия*</t>
    </r>
  </si>
  <si>
    <r>
      <rPr>
        <sz val="11"/>
        <color rgb="FF000000"/>
        <rFont val="Times New Roman"/>
        <family val="1"/>
      </rPr>
      <t>Сроки проведения, включая дни в пути</t>
    </r>
  </si>
  <si>
    <r>
      <rPr>
        <sz val="11"/>
        <color rgb="FF000000"/>
        <rFont val="Times New Roman"/>
        <family val="1"/>
      </rPr>
      <t>Место проведения</t>
    </r>
  </si>
  <si>
    <r>
      <rPr>
        <sz val="11"/>
        <color rgb="FF000000"/>
        <rFont val="Times New Roman"/>
        <family val="1"/>
      </rPr>
      <t>Финансово-организационное обеспечение мероприятия</t>
    </r>
  </si>
  <si>
    <r>
      <rPr>
        <b/>
        <sz val="11"/>
        <color rgb="FF000000"/>
        <rFont val="Times New Roman"/>
        <family val="1"/>
      </rPr>
      <t>Проезд</t>
    </r>
  </si>
  <si>
    <r>
      <rPr>
        <b/>
        <sz val="11"/>
        <color rgb="FF000000"/>
        <rFont val="Times New Roman"/>
        <family val="1"/>
      </rPr>
      <t>Проживание</t>
    </r>
  </si>
  <si>
    <r>
      <rPr>
        <b/>
        <sz val="11"/>
        <color rgb="FF000000"/>
        <rFont val="Times New Roman"/>
        <family val="1"/>
      </rPr>
      <t>Питание</t>
    </r>
  </si>
  <si>
    <r>
      <rPr>
        <b/>
        <sz val="11"/>
        <color rgb="FF000000"/>
        <rFont val="Times New Roman"/>
        <family val="1"/>
      </rPr>
      <t>Другие расходы**</t>
    </r>
  </si>
  <si>
    <r>
      <rPr>
        <b/>
        <sz val="11"/>
        <color rgb="FF000000"/>
        <rFont val="Times New Roman"/>
        <family val="1"/>
      </rPr>
      <t>Итоговая сумма</t>
    </r>
  </si>
  <si>
    <r>
      <rPr>
        <sz val="8"/>
        <color rgb="FF000000"/>
        <rFont val="Times New Roman"/>
        <family val="1"/>
      </rPr>
      <t xml:space="preserve">Стоимость билета
</t>
    </r>
  </si>
  <si>
    <r>
      <rPr>
        <sz val="8"/>
        <color rgb="FF000000"/>
        <rFont val="Times New Roman"/>
        <family val="1"/>
      </rPr>
      <t>Сумма</t>
    </r>
  </si>
  <si>
    <r>
      <rPr>
        <sz val="8"/>
        <color rgb="FF000000"/>
        <rFont val="Times New Roman"/>
        <family val="1"/>
      </rPr>
      <t>Норма оплаты на 1</t>
    </r>
    <r>
      <rPr>
        <sz val="8"/>
        <rFont val="Calibri"/>
        <family val="2"/>
      </rPr>
      <t> </t>
    </r>
    <r>
      <rPr>
        <sz val="8"/>
        <color rgb="FF000000"/>
        <rFont val="Times New Roman"/>
        <family val="1"/>
      </rPr>
      <t>чел.</t>
    </r>
  </si>
  <si>
    <r>
      <rPr>
        <sz val="8"/>
        <color rgb="FF000000"/>
        <rFont val="Times New Roman"/>
        <family val="1"/>
      </rPr>
      <t xml:space="preserve">Количество дней
</t>
    </r>
  </si>
  <si>
    <r>
      <rPr>
        <sz val="8"/>
        <color rgb="FF000000"/>
        <rFont val="Times New Roman"/>
        <family val="1"/>
      </rPr>
      <t>Сумма</t>
    </r>
  </si>
  <si>
    <r>
      <rPr>
        <sz val="8"/>
        <color rgb="FF000000"/>
        <rFont val="Times New Roman"/>
        <family val="1"/>
      </rPr>
      <t>Норма оплаты на 1 чел.</t>
    </r>
  </si>
  <si>
    <r>
      <rPr>
        <sz val="8"/>
        <color rgb="FF000000"/>
        <rFont val="Times New Roman"/>
        <family val="1"/>
      </rPr>
      <t xml:space="preserve">Количество дней
</t>
    </r>
  </si>
  <si>
    <r>
      <rPr>
        <sz val="8"/>
        <color rgb="FF000000"/>
        <rFont val="Times New Roman"/>
        <family val="1"/>
      </rPr>
      <t>Сумма</t>
    </r>
  </si>
  <si>
    <r>
      <rPr>
        <vertAlign val="superscript"/>
        <sz val="14"/>
        <rFont val="Times New Roman"/>
        <family val="1"/>
      </rPr>
      <t>* В соответствии с планом участия в спортивных мероприятиях спортсмена и в соответствии с календарными планами Республики Марий Эл и РФ.</t>
    </r>
  </si>
  <si>
    <r>
      <rPr>
        <vertAlign val="superscript"/>
        <sz val="14"/>
        <rFont val="Times New Roman"/>
        <family val="1"/>
      </rPr>
      <t xml:space="preserve">**В соответствии с Порядком финансирования за счет средств республиканского бюджета Республики Марий Эл физкультурных мероприятий и спортивных мероприятий, включенных </t>
    </r>
  </si>
  <si>
    <r>
      <rPr>
        <vertAlign val="superscript"/>
        <sz val="14"/>
        <rFont val="Times New Roman"/>
        <family val="1"/>
      </rPr>
      <t xml:space="preserve">в календарный план официальных физкультурных мероприятий и спортивных мероприятий Республики Марий Эл, утвержденным постановлением Правительства Республики Марий Эл </t>
    </r>
  </si>
  <si>
    <r>
      <rPr>
        <vertAlign val="superscript"/>
        <sz val="14"/>
        <rFont val="Times New Roman"/>
        <family val="1"/>
      </rPr>
      <t>от 2 июня 2017 года № 251.</t>
    </r>
  </si>
  <si>
    <t>______________________Дмитриев Георгий Максимович, 22.11.2002, Спортивный туризм, МС РФ___________________________</t>
  </si>
  <si>
    <t>1 этап Кубка России по спортивному туризму на лыжных дистанциях</t>
  </si>
  <si>
    <t>Кубок России (финал) по спортивному туризму на лыжных дистанциях</t>
  </si>
  <si>
    <t>Чемпионат России по спортивному туризму на лыжных дистанциях</t>
  </si>
  <si>
    <t>Всероссийские соревнования по спортивному туризму на пешеходных дистанциях</t>
  </si>
  <si>
    <t>Кубок России по спортивному туризму на пешеходных дистанциях</t>
  </si>
  <si>
    <t>Чемпионат России по спортивному туризму на пешеходных дистанциях</t>
  </si>
  <si>
    <t>Всероссийские соревнования по спортивному туризму на пешеходных дистанциях "Гонка четырех"</t>
  </si>
  <si>
    <t>Всероссийские соревнования по спортивному туризму на пешеходных дистанциях "Кубок Москвы"</t>
  </si>
  <si>
    <t>19-22 сентября</t>
  </si>
  <si>
    <t>17-20 октября</t>
  </si>
  <si>
    <t>Свердловская область, г. Березовский</t>
  </si>
  <si>
    <t>Московская область, г. Красногорск</t>
  </si>
  <si>
    <t>Мурманская обл, г. Мурманск</t>
  </si>
  <si>
    <t>Липецкая область, с Аргамач-Пальна</t>
  </si>
  <si>
    <t>Московская область, Воскресенский р-н, п. Цюрупы</t>
  </si>
  <si>
    <t>Москва</t>
  </si>
  <si>
    <t>г. Москва</t>
  </si>
  <si>
    <t>Республика Татарстан, г. Набережные Челны</t>
  </si>
  <si>
    <t>Алтайский край, с Нижнекаянча</t>
  </si>
  <si>
    <t>Пензенская область, г Пенза</t>
  </si>
  <si>
    <t>22-27 января</t>
  </si>
  <si>
    <t>29 января – 01 февраля</t>
  </si>
  <si>
    <t>02-09 марта</t>
  </si>
  <si>
    <t>05 мая – 10 мая</t>
  </si>
  <si>
    <t>01-07 июля</t>
  </si>
  <si>
    <t>21-31 августа</t>
  </si>
  <si>
    <t>20 – 24 октября</t>
  </si>
  <si>
    <t>29 октября – 3 ноября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</si>
</sst>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family val="2"/>
    </font>
    <font>
      <sz val="14"/>
      <name val="Times New Roman"/>
      <family val="1"/>
    </font>
    <font>
      <b/>
      <sz val="14"/>
      <color rgb="FF000000"/>
      <name val="Times New Roman"/>
      <family val="1"/>
    </font>
    <font>
      <vertAlign val="superscript"/>
      <sz val="14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Calibri"/>
      <family val="2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8"/>
  <sheetViews>
    <sheetView tabSelected="1" topLeftCell="A6" zoomScale="57" zoomScaleNormal="80" workbookViewId="0">
      <selection activeCell="H14" sqref="H14"/>
    </sheetView>
  </sheetViews>
  <sheetFormatPr defaultRowHeight="14.4" x14ac:dyDescent="0.3"/>
  <cols>
    <col min="1" max="1" width="4.44140625"/>
    <col min="2" max="2" width="30" customWidth="1"/>
    <col min="3" max="3" width="12.44140625"/>
    <col min="4" max="4" width="12.5546875"/>
    <col min="5" max="5" width="7.44140625"/>
    <col min="6" max="6" width="10"/>
    <col min="7" max="7" width="7.5546875"/>
    <col min="8" max="8" width="7.44140625"/>
    <col min="9" max="10" width="8.77734375"/>
    <col min="11" max="11" width="7.44140625"/>
    <col min="12" max="12" width="11.21875"/>
    <col min="13" max="13" width="18.21875" bestFit="1" customWidth="1"/>
    <col min="14" max="14" width="16.109375" bestFit="1" customWidth="1"/>
    <col min="15" max="15" width="4.6640625"/>
  </cols>
  <sheetData>
    <row r="2" spans="1:15" ht="87.9" customHeight="1" x14ac:dyDescent="0.3">
      <c r="B2" s="13"/>
      <c r="C2" s="13"/>
      <c r="D2" s="13"/>
      <c r="E2" s="13"/>
      <c r="F2" s="14"/>
      <c r="G2" s="14"/>
      <c r="H2" s="14"/>
      <c r="I2" s="14" t="s">
        <v>0</v>
      </c>
      <c r="J2" s="14"/>
      <c r="K2" s="14"/>
      <c r="L2" s="14"/>
      <c r="M2" s="14"/>
      <c r="N2" s="14"/>
    </row>
    <row r="4" spans="1:15" ht="19.2" customHeight="1" x14ac:dyDescent="0.3">
      <c r="A4" s="15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9.2" customHeight="1" x14ac:dyDescent="0.3">
      <c r="A5" s="16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7" spans="1:15" ht="19.2" customHeight="1" x14ac:dyDescent="0.3">
      <c r="A7" s="10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19.2" customHeight="1" x14ac:dyDescent="0.3">
      <c r="A8" s="10" t="s">
        <v>27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9.2" customHeight="1" x14ac:dyDescent="0.3">
      <c r="A9" s="10" t="s">
        <v>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1" spans="1:15" ht="24.75" customHeight="1" x14ac:dyDescent="0.3">
      <c r="A11" s="11" t="s">
        <v>5</v>
      </c>
      <c r="B11" s="11" t="s">
        <v>6</v>
      </c>
      <c r="C11" s="11" t="s">
        <v>7</v>
      </c>
      <c r="D11" s="11" t="s">
        <v>8</v>
      </c>
      <c r="E11" s="11" t="s">
        <v>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21.75" customHeight="1" x14ac:dyDescent="0.3">
      <c r="A12" s="11"/>
      <c r="B12" s="11"/>
      <c r="C12" s="11"/>
      <c r="D12" s="11"/>
      <c r="E12" s="12" t="s">
        <v>10</v>
      </c>
      <c r="F12" s="12"/>
      <c r="G12" s="12" t="s">
        <v>11</v>
      </c>
      <c r="H12" s="12"/>
      <c r="I12" s="12"/>
      <c r="J12" s="12" t="s">
        <v>12</v>
      </c>
      <c r="K12" s="12"/>
      <c r="L12" s="12"/>
      <c r="M12" s="7" t="s">
        <v>13</v>
      </c>
      <c r="N12" s="7" t="s">
        <v>14</v>
      </c>
      <c r="O12" s="7"/>
    </row>
    <row r="13" spans="1:15" ht="30.6" x14ac:dyDescent="0.3">
      <c r="A13" s="11"/>
      <c r="B13" s="11"/>
      <c r="C13" s="11"/>
      <c r="D13" s="11"/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7">
        <f>SUM(M14:M23)</f>
        <v>15000</v>
      </c>
      <c r="N13" s="7">
        <f>SUM(N14:N23)</f>
        <v>198019</v>
      </c>
      <c r="O13" s="7"/>
    </row>
    <row r="14" spans="1:15" ht="46.8" x14ac:dyDescent="0.3">
      <c r="A14" s="2">
        <v>1</v>
      </c>
      <c r="B14" s="3" t="s">
        <v>28</v>
      </c>
      <c r="C14" s="4" t="s">
        <v>48</v>
      </c>
      <c r="D14" s="4" t="s">
        <v>38</v>
      </c>
      <c r="E14" s="2"/>
      <c r="F14" s="2"/>
      <c r="G14" s="2">
        <v>1200</v>
      </c>
      <c r="H14" s="2">
        <v>4</v>
      </c>
      <c r="I14" s="2">
        <f>G14*H14</f>
        <v>4800</v>
      </c>
      <c r="J14" s="2">
        <v>1250</v>
      </c>
      <c r="K14" s="2">
        <v>4</v>
      </c>
      <c r="L14" s="2">
        <f>J14*K14</f>
        <v>5000</v>
      </c>
      <c r="M14" s="7">
        <v>1500</v>
      </c>
      <c r="N14" s="7">
        <f>SUM(E14:M14)</f>
        <v>13758</v>
      </c>
      <c r="O14" s="7"/>
    </row>
    <row r="15" spans="1:15" ht="41.4" x14ac:dyDescent="0.3">
      <c r="A15" s="6">
        <v>2</v>
      </c>
      <c r="B15" s="4" t="s">
        <v>29</v>
      </c>
      <c r="C15" s="4" t="s">
        <v>49</v>
      </c>
      <c r="D15" s="4" t="s">
        <v>39</v>
      </c>
      <c r="E15" s="6">
        <v>2500</v>
      </c>
      <c r="F15" s="6">
        <v>5000</v>
      </c>
      <c r="G15" s="2">
        <v>1200</v>
      </c>
      <c r="H15" s="6">
        <v>3</v>
      </c>
      <c r="I15" s="2">
        <f t="shared" ref="I15:I23" si="0">G15*H15</f>
        <v>3600</v>
      </c>
      <c r="J15" s="2">
        <v>1250</v>
      </c>
      <c r="K15" s="6">
        <v>3</v>
      </c>
      <c r="L15" s="2">
        <f t="shared" ref="L15:L23" si="1">J15*K15</f>
        <v>3750</v>
      </c>
      <c r="M15" s="6">
        <v>1000</v>
      </c>
      <c r="N15" s="7">
        <f t="shared" ref="N15:N23" si="2">SUM(E15:M15)</f>
        <v>18306</v>
      </c>
      <c r="O15" s="6"/>
    </row>
    <row r="16" spans="1:15" ht="46.8" x14ac:dyDescent="0.3">
      <c r="A16" s="6">
        <v>3</v>
      </c>
      <c r="B16" s="5" t="s">
        <v>30</v>
      </c>
      <c r="C16" s="4" t="s">
        <v>50</v>
      </c>
      <c r="D16" s="5" t="s">
        <v>40</v>
      </c>
      <c r="E16" s="6">
        <v>7500</v>
      </c>
      <c r="F16" s="6">
        <v>15000</v>
      </c>
      <c r="G16" s="2">
        <v>1200</v>
      </c>
      <c r="H16" s="6">
        <v>4</v>
      </c>
      <c r="I16" s="2">
        <f t="shared" si="0"/>
        <v>4800</v>
      </c>
      <c r="J16" s="2">
        <v>1250</v>
      </c>
      <c r="K16" s="6">
        <v>4</v>
      </c>
      <c r="L16" s="2">
        <f t="shared" si="1"/>
        <v>5000</v>
      </c>
      <c r="M16" s="6">
        <v>2000</v>
      </c>
      <c r="N16" s="7">
        <f t="shared" si="2"/>
        <v>36758</v>
      </c>
      <c r="O16" s="6"/>
    </row>
    <row r="17" spans="1:15" ht="62.4" x14ac:dyDescent="0.3">
      <c r="A17" s="6">
        <v>4</v>
      </c>
      <c r="B17" s="5" t="s">
        <v>31</v>
      </c>
      <c r="C17" s="4" t="s">
        <v>51</v>
      </c>
      <c r="D17" s="4" t="s">
        <v>41</v>
      </c>
      <c r="E17" s="6">
        <v>3000</v>
      </c>
      <c r="F17" s="6">
        <v>6000</v>
      </c>
      <c r="G17" s="2">
        <v>1200</v>
      </c>
      <c r="H17" s="6">
        <v>4</v>
      </c>
      <c r="I17" s="2">
        <f t="shared" si="0"/>
        <v>4800</v>
      </c>
      <c r="J17" s="2">
        <v>1250</v>
      </c>
      <c r="K17" s="6">
        <v>4</v>
      </c>
      <c r="L17" s="2">
        <f t="shared" si="1"/>
        <v>5000</v>
      </c>
      <c r="M17" s="6">
        <v>1500</v>
      </c>
      <c r="N17" s="7">
        <f t="shared" si="2"/>
        <v>22758</v>
      </c>
      <c r="O17" s="6"/>
    </row>
    <row r="18" spans="1:15" ht="69" x14ac:dyDescent="0.3">
      <c r="A18" s="6">
        <v>5</v>
      </c>
      <c r="B18" s="5" t="s">
        <v>32</v>
      </c>
      <c r="C18" s="4" t="s">
        <v>52</v>
      </c>
      <c r="D18" s="4" t="s">
        <v>42</v>
      </c>
      <c r="E18" s="6"/>
      <c r="F18" s="6"/>
      <c r="G18" s="2"/>
      <c r="H18" s="6"/>
      <c r="I18" s="2"/>
      <c r="J18" s="2">
        <v>1250</v>
      </c>
      <c r="K18" s="6">
        <v>5</v>
      </c>
      <c r="L18" s="2">
        <f t="shared" si="1"/>
        <v>6250</v>
      </c>
      <c r="M18" s="6">
        <v>2000</v>
      </c>
      <c r="N18" s="7">
        <f t="shared" si="2"/>
        <v>9505</v>
      </c>
      <c r="O18" s="6"/>
    </row>
    <row r="19" spans="1:15" ht="55.2" x14ac:dyDescent="0.3">
      <c r="A19" s="6">
        <v>6</v>
      </c>
      <c r="B19" s="5" t="s">
        <v>33</v>
      </c>
      <c r="C19" s="4" t="s">
        <v>53</v>
      </c>
      <c r="D19" s="4" t="s">
        <v>46</v>
      </c>
      <c r="E19" s="6">
        <v>7000</v>
      </c>
      <c r="F19" s="6">
        <v>14000</v>
      </c>
      <c r="G19" s="2">
        <v>1200</v>
      </c>
      <c r="H19" s="6">
        <v>5</v>
      </c>
      <c r="I19" s="2">
        <f t="shared" si="0"/>
        <v>6000</v>
      </c>
      <c r="J19" s="2">
        <v>1250</v>
      </c>
      <c r="K19" s="6">
        <v>5</v>
      </c>
      <c r="L19" s="2">
        <f t="shared" si="1"/>
        <v>6250</v>
      </c>
      <c r="M19" s="6">
        <v>2000</v>
      </c>
      <c r="N19" s="7">
        <f t="shared" si="2"/>
        <v>37710</v>
      </c>
      <c r="O19" s="6"/>
    </row>
    <row r="20" spans="1:15" ht="78" x14ac:dyDescent="0.3">
      <c r="A20" s="6">
        <v>7</v>
      </c>
      <c r="B20" s="5" t="s">
        <v>34</v>
      </c>
      <c r="C20" s="4" t="s">
        <v>36</v>
      </c>
      <c r="D20" s="5" t="s">
        <v>43</v>
      </c>
      <c r="E20" s="6">
        <v>2500</v>
      </c>
      <c r="F20" s="6">
        <v>5000</v>
      </c>
      <c r="G20" s="2">
        <v>1200</v>
      </c>
      <c r="H20" s="6">
        <v>2</v>
      </c>
      <c r="I20" s="2">
        <f t="shared" si="0"/>
        <v>2400</v>
      </c>
      <c r="J20" s="2">
        <v>1250</v>
      </c>
      <c r="K20" s="6">
        <v>2</v>
      </c>
      <c r="L20" s="2">
        <f t="shared" si="1"/>
        <v>2500</v>
      </c>
      <c r="M20" s="6">
        <v>1000</v>
      </c>
      <c r="N20" s="7">
        <f t="shared" si="2"/>
        <v>15854</v>
      </c>
      <c r="O20" s="6"/>
    </row>
    <row r="21" spans="1:15" ht="78" x14ac:dyDescent="0.3">
      <c r="A21" s="6">
        <v>8</v>
      </c>
      <c r="B21" s="5" t="s">
        <v>35</v>
      </c>
      <c r="C21" s="4" t="s">
        <v>37</v>
      </c>
      <c r="D21" s="5" t="s">
        <v>44</v>
      </c>
      <c r="E21" s="6">
        <v>2500</v>
      </c>
      <c r="F21" s="6">
        <v>5000</v>
      </c>
      <c r="G21" s="2">
        <v>1200</v>
      </c>
      <c r="H21" s="6">
        <v>2</v>
      </c>
      <c r="I21" s="2">
        <f t="shared" si="0"/>
        <v>2400</v>
      </c>
      <c r="J21" s="2">
        <v>1250</v>
      </c>
      <c r="K21" s="6">
        <v>2</v>
      </c>
      <c r="L21" s="2">
        <f t="shared" si="1"/>
        <v>2500</v>
      </c>
      <c r="M21" s="6">
        <v>1000</v>
      </c>
      <c r="N21" s="7">
        <f t="shared" si="2"/>
        <v>15854</v>
      </c>
      <c r="O21" s="6"/>
    </row>
    <row r="22" spans="1:15" ht="62.4" x14ac:dyDescent="0.3">
      <c r="A22" s="6">
        <v>9</v>
      </c>
      <c r="B22" s="5" t="s">
        <v>31</v>
      </c>
      <c r="C22" s="4" t="s">
        <v>54</v>
      </c>
      <c r="D22" s="5" t="s">
        <v>47</v>
      </c>
      <c r="E22" s="6"/>
      <c r="F22" s="6"/>
      <c r="G22" s="2">
        <v>1200</v>
      </c>
      <c r="H22" s="6">
        <v>4</v>
      </c>
      <c r="I22" s="2">
        <f t="shared" si="0"/>
        <v>4800</v>
      </c>
      <c r="J22" s="2">
        <v>1250</v>
      </c>
      <c r="K22" s="6">
        <v>4</v>
      </c>
      <c r="L22" s="2">
        <f t="shared" si="1"/>
        <v>5000</v>
      </c>
      <c r="M22" s="6">
        <v>1500</v>
      </c>
      <c r="N22" s="7">
        <f t="shared" si="2"/>
        <v>13758</v>
      </c>
      <c r="O22" s="6"/>
    </row>
    <row r="23" spans="1:15" ht="78" x14ac:dyDescent="0.3">
      <c r="A23" s="6">
        <v>10</v>
      </c>
      <c r="B23" s="5" t="s">
        <v>31</v>
      </c>
      <c r="C23" s="4" t="s">
        <v>55</v>
      </c>
      <c r="D23" s="5" t="s">
        <v>45</v>
      </c>
      <c r="E23" s="6"/>
      <c r="F23" s="6"/>
      <c r="G23" s="2">
        <v>1200</v>
      </c>
      <c r="H23" s="6">
        <v>4</v>
      </c>
      <c r="I23" s="2">
        <f t="shared" si="0"/>
        <v>4800</v>
      </c>
      <c r="J23" s="2">
        <v>1250</v>
      </c>
      <c r="K23" s="6">
        <v>4</v>
      </c>
      <c r="L23" s="2">
        <f t="shared" si="1"/>
        <v>5000</v>
      </c>
      <c r="M23" s="6">
        <v>1500</v>
      </c>
      <c r="N23" s="7">
        <f t="shared" si="2"/>
        <v>13758</v>
      </c>
      <c r="O23" s="6"/>
    </row>
    <row r="25" spans="1:15" x14ac:dyDescent="0.3">
      <c r="A25" s="8" t="s">
        <v>23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3">
      <c r="A26" s="8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3">
      <c r="A27" s="8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3">
      <c r="A28" s="8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</sheetData>
  <mergeCells count="20">
    <mergeCell ref="B2:E2"/>
    <mergeCell ref="F2:H2"/>
    <mergeCell ref="I2:N2"/>
    <mergeCell ref="A4:O4"/>
    <mergeCell ref="A5:O5"/>
    <mergeCell ref="A25:O25"/>
    <mergeCell ref="A26:O26"/>
    <mergeCell ref="A27:O27"/>
    <mergeCell ref="A28:O28"/>
    <mergeCell ref="A7:O7"/>
    <mergeCell ref="A8:O8"/>
    <mergeCell ref="A9:O9"/>
    <mergeCell ref="A11:A13"/>
    <mergeCell ref="B11:B13"/>
    <mergeCell ref="C11:C13"/>
    <mergeCell ref="D11:D13"/>
    <mergeCell ref="E11:O11"/>
    <mergeCell ref="E12:F12"/>
    <mergeCell ref="G12:I12"/>
    <mergeCell ref="J12:L12"/>
  </mergeCells>
  <pageMargins left="0.39" right="0.3" top="0.98" bottom="0.79" header="0.49" footer="0.49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Клин</dc:creator>
  <cp:lastModifiedBy>Georg Gon</cp:lastModifiedBy>
  <cp:revision>6</cp:revision>
  <cp:lastPrinted>2022-09-16T13:32:00Z</cp:lastPrinted>
  <dcterms:created xsi:type="dcterms:W3CDTF">2022-09-16T13:56:00Z</dcterms:created>
  <dcterms:modified xsi:type="dcterms:W3CDTF">2025-01-15T20:16:10Z</dcterms:modified>
</cp:coreProperties>
</file>